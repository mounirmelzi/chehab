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V4 Agents" sheetId="1" state="visible" r:id="rId1"/>
    <sheet name="Quick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wrapText="1"/>
    </xf>
    <xf numFmtId="0" fontId="2" fillId="2" borderId="0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Avg Cost Reduction (%)</t>
        </is>
      </c>
      <c r="D1" s="1" t="inlineStr">
        <is>
          <t>Avg Final Noise</t>
        </is>
      </c>
      <c r="E1" s="1" t="inlineStr">
        <is>
          <t>Violations</t>
        </is>
      </c>
      <c r="F1" s="1" t="inlineStr">
        <is>
          <t>Violation Rate (%)</t>
        </is>
      </c>
      <c r="G1" s="1" t="inlineStr">
        <is>
          <t>Avg Noise Margin</t>
        </is>
      </c>
      <c r="H1" s="1" t="inlineStr">
        <is>
          <t>Avg Steps</t>
        </is>
      </c>
    </row>
    <row r="2">
      <c r="A2" s="2">
        <f>== UNCONSTRAINED PPO BASELINE ===</f>
        <v/>
      </c>
      <c r="B2" s="2" t="n"/>
      <c r="C2" s="2" t="n"/>
      <c r="D2" s="2" t="n"/>
      <c r="E2" s="2" t="n"/>
      <c r="F2" s="2" t="n"/>
      <c r="G2" s="2" t="n"/>
      <c r="H2" s="2" t="n"/>
    </row>
    <row r="3">
      <c r="A3" s="3" t="n">
        <v>172</v>
      </c>
      <c r="B3" s="3" t="n">
        <v>43</v>
      </c>
      <c r="C3" s="3" t="n">
        <v>86.91</v>
      </c>
      <c r="D3" s="3" t="n">
        <v>146.91</v>
      </c>
      <c r="E3" s="3" t="n">
        <v>13</v>
      </c>
      <c r="F3" s="3" t="n">
        <v>30.2</v>
      </c>
      <c r="G3" s="3" t="n">
        <v>25.09</v>
      </c>
      <c r="H3" s="3" t="n"/>
    </row>
    <row r="4">
      <c r="A4" s="3" t="n">
        <v>230</v>
      </c>
      <c r="B4" s="3" t="n">
        <v>43</v>
      </c>
      <c r="C4" s="3" t="n">
        <v>86.91</v>
      </c>
      <c r="D4" s="3" t="n">
        <v>146.91</v>
      </c>
      <c r="E4" s="3" t="n">
        <v>6</v>
      </c>
      <c r="F4" s="3" t="n">
        <v>14</v>
      </c>
      <c r="G4" s="3" t="n">
        <v>83.09</v>
      </c>
      <c r="H4" s="3" t="n"/>
    </row>
    <row r="5">
      <c r="A5" s="3" t="n">
        <v>233</v>
      </c>
      <c r="B5" s="3" t="n">
        <v>43</v>
      </c>
      <c r="C5" s="3" t="n">
        <v>86.91</v>
      </c>
      <c r="D5" s="3" t="n">
        <v>146.91</v>
      </c>
      <c r="E5" s="3" t="n">
        <v>6</v>
      </c>
      <c r="F5" s="3" t="n">
        <v>14</v>
      </c>
      <c r="G5" s="3" t="n">
        <v>86.09</v>
      </c>
      <c r="H5" s="3" t="n"/>
    </row>
    <row r="6">
      <c r="A6" s="3" t="n">
        <v>236</v>
      </c>
      <c r="B6" s="3" t="n">
        <v>43</v>
      </c>
      <c r="C6" s="3" t="n">
        <v>86.91</v>
      </c>
      <c r="D6" s="3" t="n">
        <v>146.91</v>
      </c>
      <c r="E6" s="3" t="n">
        <v>6</v>
      </c>
      <c r="F6" s="3" t="n">
        <v>14</v>
      </c>
      <c r="G6" s="3" t="n">
        <v>89.09</v>
      </c>
      <c r="H6" s="3" t="n"/>
    </row>
    <row r="7">
      <c r="A7" s="3" t="n">
        <v>369</v>
      </c>
      <c r="B7" s="3" t="n">
        <v>43</v>
      </c>
      <c r="C7" s="3" t="n">
        <v>86.91</v>
      </c>
      <c r="D7" s="3" t="n">
        <v>146.91</v>
      </c>
      <c r="E7" s="3" t="n">
        <v>1</v>
      </c>
      <c r="F7" s="3" t="n">
        <v>2.3</v>
      </c>
      <c r="G7" s="3" t="n">
        <v>222.09</v>
      </c>
      <c r="H7" s="3" t="n"/>
    </row>
    <row r="8">
      <c r="A8" s="3" t="n">
        <v>372</v>
      </c>
      <c r="B8" s="3" t="n">
        <v>43</v>
      </c>
      <c r="C8" s="3" t="n">
        <v>86.91</v>
      </c>
      <c r="D8" s="3" t="n">
        <v>146.91</v>
      </c>
      <c r="E8" s="3" t="n">
        <v>1</v>
      </c>
      <c r="F8" s="3" t="n">
        <v>2.3</v>
      </c>
      <c r="G8" s="3" t="n">
        <v>225.09</v>
      </c>
      <c r="H8" s="3" t="n"/>
    </row>
    <row r="9">
      <c r="A9" s="3" t="n">
        <v>9000000</v>
      </c>
      <c r="B9" s="3" t="n">
        <v>43</v>
      </c>
      <c r="C9" s="3" t="n">
        <v>86.91</v>
      </c>
      <c r="D9" s="3" t="n">
        <v>146.91</v>
      </c>
      <c r="E9" s="3" t="n">
        <v>0</v>
      </c>
      <c r="F9" s="3" t="n">
        <v>0</v>
      </c>
      <c r="G9" s="3" t="n">
        <v>8999853.09</v>
      </c>
      <c r="H9" s="3" t="n"/>
    </row>
    <row r="11">
      <c r="A11" s="2">
        <f>== Margin Barrier — A [230,233,236,369,9M] ===</f>
        <v/>
      </c>
      <c r="B11" s="2" t="n"/>
      <c r="C11" s="2" t="n"/>
      <c r="D11" s="2" t="n"/>
      <c r="E11" s="2" t="n"/>
      <c r="F11" s="2" t="n"/>
      <c r="G11" s="2" t="n"/>
      <c r="H11" s="2" t="n"/>
    </row>
    <row r="12">
      <c r="A12" s="3" t="n">
        <v>230</v>
      </c>
      <c r="B12" s="3" t="n">
        <v>43</v>
      </c>
      <c r="C12" s="3" t="n">
        <v>81.45999999999999</v>
      </c>
      <c r="D12" s="3" t="n">
        <v>69.06</v>
      </c>
      <c r="E12" s="3" t="n">
        <v>0</v>
      </c>
      <c r="F12" s="3" t="n">
        <v>0</v>
      </c>
      <c r="G12" s="3" t="n">
        <v>160.94</v>
      </c>
      <c r="H12" s="3" t="n">
        <v>21.7</v>
      </c>
    </row>
    <row r="13">
      <c r="A13" s="3" t="n">
        <v>233</v>
      </c>
      <c r="B13" s="3" t="n">
        <v>43</v>
      </c>
      <c r="C13" s="3" t="n">
        <v>76.43000000000001</v>
      </c>
      <c r="D13" s="3" t="n">
        <v>69.75</v>
      </c>
      <c r="E13" s="3" t="n">
        <v>1</v>
      </c>
      <c r="F13" s="3" t="n">
        <v>2.3</v>
      </c>
      <c r="G13" s="3" t="n">
        <v>163.25</v>
      </c>
      <c r="H13" s="3" t="n">
        <v>21.8</v>
      </c>
    </row>
    <row r="14">
      <c r="A14" s="3" t="n">
        <v>236</v>
      </c>
      <c r="B14" s="3" t="n">
        <v>43</v>
      </c>
      <c r="C14" s="3" t="n">
        <v>76.11</v>
      </c>
      <c r="D14" s="3" t="n">
        <v>69.54000000000001</v>
      </c>
      <c r="E14" s="3" t="n">
        <v>1</v>
      </c>
      <c r="F14" s="3" t="n">
        <v>2.3</v>
      </c>
      <c r="G14" s="3" t="n">
        <v>166.46</v>
      </c>
      <c r="H14" s="3" t="n">
        <v>20</v>
      </c>
    </row>
    <row r="15">
      <c r="A15" s="3" t="n">
        <v>369</v>
      </c>
      <c r="B15" s="3" t="n">
        <v>43</v>
      </c>
      <c r="C15" s="3" t="n">
        <v>76.31999999999999</v>
      </c>
      <c r="D15" s="3" t="n">
        <v>70.37</v>
      </c>
      <c r="E15" s="3" t="n">
        <v>0</v>
      </c>
      <c r="F15" s="3" t="n">
        <v>0</v>
      </c>
      <c r="G15" s="3" t="n">
        <v>298.63</v>
      </c>
      <c r="H15" s="3" t="n">
        <v>21.7</v>
      </c>
    </row>
    <row r="16">
      <c r="A16" s="3" t="n">
        <v>9000000</v>
      </c>
      <c r="B16" s="3" t="n">
        <v>43</v>
      </c>
      <c r="C16" s="3" t="n">
        <v>73.41</v>
      </c>
      <c r="D16" s="3" t="n">
        <v>71.48</v>
      </c>
      <c r="E16" s="3" t="n">
        <v>0</v>
      </c>
      <c r="F16" s="3" t="n">
        <v>0</v>
      </c>
      <c r="G16" s="3" t="n">
        <v>8999928.52</v>
      </c>
      <c r="H16" s="3" t="n">
        <v>21.6</v>
      </c>
    </row>
    <row r="18">
      <c r="A18" s="2">
        <f>== Margin Barrier — B [230,236,369,372,9M] ===</f>
        <v/>
      </c>
      <c r="B18" s="2" t="n"/>
      <c r="C18" s="2" t="n"/>
      <c r="D18" s="2" t="n"/>
      <c r="E18" s="2" t="n"/>
      <c r="F18" s="2" t="n"/>
      <c r="G18" s="2" t="n"/>
      <c r="H18" s="2" t="n"/>
    </row>
    <row r="19">
      <c r="A19" s="3" t="n">
        <v>230</v>
      </c>
      <c r="B19" s="3" t="n">
        <v>43</v>
      </c>
      <c r="C19" s="3" t="n">
        <v>78.89</v>
      </c>
      <c r="D19" s="3" t="n">
        <v>70.93000000000001</v>
      </c>
      <c r="E19" s="3" t="n">
        <v>0</v>
      </c>
      <c r="F19" s="3" t="n">
        <v>0</v>
      </c>
      <c r="G19" s="3" t="n">
        <v>159.07</v>
      </c>
      <c r="H19" s="3" t="n">
        <v>19.8</v>
      </c>
    </row>
    <row r="20">
      <c r="A20" s="3" t="n">
        <v>236</v>
      </c>
      <c r="B20" s="3" t="n">
        <v>43</v>
      </c>
      <c r="C20" s="3" t="n">
        <v>74.11</v>
      </c>
      <c r="D20" s="3" t="n">
        <v>74.93000000000001</v>
      </c>
      <c r="E20" s="3" t="n">
        <v>1</v>
      </c>
      <c r="F20" s="3" t="n">
        <v>2.3</v>
      </c>
      <c r="G20" s="3" t="n">
        <v>161.07</v>
      </c>
      <c r="H20" s="3" t="n">
        <v>17.5</v>
      </c>
    </row>
    <row r="21">
      <c r="A21" s="3" t="n">
        <v>369</v>
      </c>
      <c r="B21" s="3" t="n">
        <v>43</v>
      </c>
      <c r="C21" s="3" t="n">
        <v>75.23</v>
      </c>
      <c r="D21" s="3" t="n">
        <v>74.98</v>
      </c>
      <c r="E21" s="3" t="n">
        <v>0</v>
      </c>
      <c r="F21" s="3" t="n">
        <v>0</v>
      </c>
      <c r="G21" s="3" t="n">
        <v>294.02</v>
      </c>
      <c r="H21" s="3" t="n">
        <v>18.9</v>
      </c>
    </row>
    <row r="22">
      <c r="A22" s="3" t="n">
        <v>372</v>
      </c>
      <c r="B22" s="3" t="n">
        <v>43</v>
      </c>
      <c r="C22" s="3" t="n">
        <v>76.23999999999999</v>
      </c>
      <c r="D22" s="3" t="n">
        <v>75.73</v>
      </c>
      <c r="E22" s="3" t="n">
        <v>0</v>
      </c>
      <c r="F22" s="3" t="n">
        <v>0</v>
      </c>
      <c r="G22" s="3" t="n">
        <v>296.27</v>
      </c>
      <c r="H22" s="3" t="n">
        <v>17.2</v>
      </c>
    </row>
    <row r="23">
      <c r="A23" s="3" t="n">
        <v>9000000</v>
      </c>
      <c r="B23" s="3" t="n">
        <v>43</v>
      </c>
      <c r="C23" s="3" t="n">
        <v>72.61</v>
      </c>
      <c r="D23" s="3" t="n">
        <v>76.16</v>
      </c>
      <c r="E23" s="3" t="n">
        <v>0</v>
      </c>
      <c r="F23" s="3" t="n">
        <v>0</v>
      </c>
      <c r="G23" s="3" t="n">
        <v>8999923.84</v>
      </c>
      <c r="H23" s="3" t="n">
        <v>19.9</v>
      </c>
    </row>
    <row r="25">
      <c r="A25" s="2">
        <f>== Margin Barrier + FiLM — A [230,233,236,369,9M] ===</f>
        <v/>
      </c>
      <c r="B25" s="2" t="n"/>
      <c r="C25" s="2" t="n"/>
      <c r="D25" s="2" t="n"/>
      <c r="E25" s="2" t="n"/>
      <c r="F25" s="2" t="n"/>
      <c r="G25" s="2" t="n"/>
      <c r="H25" s="2" t="n"/>
    </row>
    <row r="26">
      <c r="A26" s="3" t="n">
        <v>230</v>
      </c>
      <c r="B26" s="3" t="n">
        <v>43</v>
      </c>
      <c r="C26" s="3" t="n">
        <v>84.89</v>
      </c>
      <c r="D26" s="3" t="n">
        <v>74.28</v>
      </c>
      <c r="E26" s="3" t="n">
        <v>0</v>
      </c>
      <c r="F26" s="3" t="n">
        <v>0</v>
      </c>
      <c r="G26" s="3" t="n">
        <v>155.72</v>
      </c>
      <c r="H26" s="3" t="n">
        <v>9.300000000000001</v>
      </c>
    </row>
    <row r="27">
      <c r="A27" s="3" t="n">
        <v>233</v>
      </c>
      <c r="B27" s="3" t="n">
        <v>43</v>
      </c>
      <c r="C27" s="3" t="n">
        <v>82.81999999999999</v>
      </c>
      <c r="D27" s="3" t="n">
        <v>78.48</v>
      </c>
      <c r="E27" s="3" t="n">
        <v>1</v>
      </c>
      <c r="F27" s="3" t="n">
        <v>2.3</v>
      </c>
      <c r="G27" s="3" t="n">
        <v>154.52</v>
      </c>
      <c r="H27" s="3" t="n">
        <v>11.7</v>
      </c>
    </row>
    <row r="28">
      <c r="A28" s="3" t="n">
        <v>236</v>
      </c>
      <c r="B28" s="3" t="n">
        <v>43</v>
      </c>
      <c r="C28" s="3" t="n">
        <v>82.53</v>
      </c>
      <c r="D28" s="3" t="n">
        <v>78.48</v>
      </c>
      <c r="E28" s="3" t="n">
        <v>1</v>
      </c>
      <c r="F28" s="3" t="n">
        <v>2.3</v>
      </c>
      <c r="G28" s="3" t="n">
        <v>157.52</v>
      </c>
      <c r="H28" s="3" t="n">
        <v>12</v>
      </c>
    </row>
    <row r="29">
      <c r="A29" s="3" t="n">
        <v>369</v>
      </c>
      <c r="B29" s="3" t="n">
        <v>43</v>
      </c>
      <c r="C29" s="3" t="n">
        <v>82.56999999999999</v>
      </c>
      <c r="D29" s="3" t="n">
        <v>78.56</v>
      </c>
      <c r="E29" s="3" t="n">
        <v>1</v>
      </c>
      <c r="F29" s="3" t="n">
        <v>2.3</v>
      </c>
      <c r="G29" s="3" t="n">
        <v>290.44</v>
      </c>
      <c r="H29" s="3" t="n">
        <v>10.5</v>
      </c>
    </row>
    <row r="30">
      <c r="A30" s="3" t="n">
        <v>9000000</v>
      </c>
      <c r="B30" s="3" t="n">
        <v>43</v>
      </c>
      <c r="C30" s="3" t="n">
        <v>81.11</v>
      </c>
      <c r="D30" s="3" t="n">
        <v>78.54000000000001</v>
      </c>
      <c r="E30" s="3" t="n">
        <v>0</v>
      </c>
      <c r="F30" s="3" t="n">
        <v>0</v>
      </c>
      <c r="G30" s="3" t="n">
        <v>8999921.460000001</v>
      </c>
      <c r="H30" s="3" t="n">
        <v>12</v>
      </c>
    </row>
    <row r="32">
      <c r="A32" s="2">
        <f>== Margin Barrier + FiLM — B [230,236,369,372,9M] ===</f>
        <v/>
      </c>
      <c r="B32" s="2" t="n"/>
      <c r="C32" s="2" t="n"/>
      <c r="D32" s="2" t="n"/>
      <c r="E32" s="2" t="n"/>
      <c r="F32" s="2" t="n"/>
      <c r="G32" s="2" t="n"/>
      <c r="H32" s="2" t="n"/>
    </row>
    <row r="33">
      <c r="A33" s="3" t="n">
        <v>230</v>
      </c>
      <c r="B33" s="3" t="n">
        <v>43</v>
      </c>
      <c r="C33" s="3" t="n">
        <v>81.12</v>
      </c>
      <c r="D33" s="3" t="n">
        <v>74.56</v>
      </c>
      <c r="E33" s="3" t="n">
        <v>1</v>
      </c>
      <c r="F33" s="3" t="n">
        <v>2.3</v>
      </c>
      <c r="G33" s="3" t="n">
        <v>155.44</v>
      </c>
      <c r="H33" s="3" t="n">
        <v>26.5</v>
      </c>
    </row>
    <row r="34">
      <c r="A34" s="3" t="n">
        <v>236</v>
      </c>
      <c r="B34" s="3" t="n">
        <v>43</v>
      </c>
      <c r="C34" s="3" t="n">
        <v>78.7</v>
      </c>
      <c r="D34" s="3" t="n">
        <v>75.59</v>
      </c>
      <c r="E34" s="3" t="n">
        <v>2</v>
      </c>
      <c r="F34" s="3" t="n">
        <v>4.7</v>
      </c>
      <c r="G34" s="3" t="n">
        <v>160.41</v>
      </c>
      <c r="H34" s="3" t="n">
        <v>26.6</v>
      </c>
    </row>
    <row r="35">
      <c r="A35" s="3" t="n">
        <v>369</v>
      </c>
      <c r="B35" s="3" t="n">
        <v>43</v>
      </c>
      <c r="C35" s="3" t="n">
        <v>77.98</v>
      </c>
      <c r="D35" s="3" t="n">
        <v>75.56</v>
      </c>
      <c r="E35" s="3" t="n">
        <v>0</v>
      </c>
      <c r="F35" s="3" t="n">
        <v>0</v>
      </c>
      <c r="G35" s="3" t="n">
        <v>293.44</v>
      </c>
      <c r="H35" s="3" t="n">
        <v>26.3</v>
      </c>
    </row>
    <row r="36">
      <c r="A36" s="3" t="n">
        <v>372</v>
      </c>
      <c r="B36" s="3" t="n">
        <v>43</v>
      </c>
      <c r="C36" s="3" t="n">
        <v>80.40000000000001</v>
      </c>
      <c r="D36" s="3" t="n">
        <v>74.84</v>
      </c>
      <c r="E36" s="3" t="n">
        <v>0</v>
      </c>
      <c r="F36" s="3" t="n">
        <v>0</v>
      </c>
      <c r="G36" s="3" t="n">
        <v>297.16</v>
      </c>
      <c r="H36" s="3" t="n">
        <v>25</v>
      </c>
    </row>
    <row r="37">
      <c r="A37" s="3" t="n">
        <v>9000000</v>
      </c>
      <c r="B37" s="3" t="n">
        <v>43</v>
      </c>
      <c r="C37" s="3" t="n">
        <v>80.88</v>
      </c>
      <c r="D37" s="3" t="n">
        <v>75.61</v>
      </c>
      <c r="E37" s="3" t="n">
        <v>0</v>
      </c>
      <c r="F37" s="3" t="n">
        <v>0</v>
      </c>
      <c r="G37" s="3" t="n">
        <v>8999924.390000001</v>
      </c>
      <c r="H37" s="3" t="n">
        <v>28.3</v>
      </c>
    </row>
    <row r="39">
      <c r="A39" s="2">
        <f>== Margin Barrier + FiLM — C [172,230,236,369,9M] ===</f>
        <v/>
      </c>
      <c r="B39" s="2" t="n"/>
      <c r="C39" s="2" t="n"/>
      <c r="D39" s="2" t="n"/>
      <c r="E39" s="2" t="n"/>
      <c r="F39" s="2" t="n"/>
      <c r="G39" s="2" t="n"/>
      <c r="H39" s="2" t="n"/>
    </row>
    <row r="40">
      <c r="A40" s="3" t="n">
        <v>172</v>
      </c>
      <c r="B40" s="3" t="n">
        <v>43</v>
      </c>
      <c r="C40" s="3" t="n">
        <v>72.54000000000001</v>
      </c>
      <c r="D40" s="3" t="n">
        <v>73.7</v>
      </c>
      <c r="E40" s="3" t="n">
        <v>3</v>
      </c>
      <c r="F40" s="3" t="n">
        <v>7</v>
      </c>
      <c r="G40" s="3" t="n">
        <v>98.3</v>
      </c>
      <c r="H40" s="3" t="n">
        <v>27.9</v>
      </c>
    </row>
    <row r="41">
      <c r="A41" s="3" t="n">
        <v>230</v>
      </c>
      <c r="B41" s="3" t="n">
        <v>43</v>
      </c>
      <c r="C41" s="3" t="n">
        <v>69.45</v>
      </c>
      <c r="D41" s="3" t="n">
        <v>72.59</v>
      </c>
      <c r="E41" s="3" t="n">
        <v>0</v>
      </c>
      <c r="F41" s="3" t="n">
        <v>0</v>
      </c>
      <c r="G41" s="3" t="n">
        <v>157.41</v>
      </c>
      <c r="H41" s="3" t="n">
        <v>30.7</v>
      </c>
    </row>
    <row r="42">
      <c r="A42" s="3" t="n">
        <v>236</v>
      </c>
      <c r="B42" s="3" t="n">
        <v>43</v>
      </c>
      <c r="C42" s="3" t="n">
        <v>69.78</v>
      </c>
      <c r="D42" s="3" t="n">
        <v>72.56</v>
      </c>
      <c r="E42" s="3" t="n">
        <v>0</v>
      </c>
      <c r="F42" s="3" t="n">
        <v>0</v>
      </c>
      <c r="G42" s="3" t="n">
        <v>163.44</v>
      </c>
      <c r="H42" s="3" t="n">
        <v>30.2</v>
      </c>
    </row>
    <row r="43">
      <c r="A43" s="3" t="n">
        <v>369</v>
      </c>
      <c r="B43" s="3" t="n">
        <v>43</v>
      </c>
      <c r="C43" s="3" t="n">
        <v>69</v>
      </c>
      <c r="D43" s="3" t="n">
        <v>73.2</v>
      </c>
      <c r="E43" s="3" t="n">
        <v>0</v>
      </c>
      <c r="F43" s="3" t="n">
        <v>0</v>
      </c>
      <c r="G43" s="3" t="n">
        <v>295.8</v>
      </c>
      <c r="H43" s="3" t="n">
        <v>30.9</v>
      </c>
    </row>
    <row r="44">
      <c r="A44" s="3" t="n">
        <v>9000000</v>
      </c>
      <c r="B44" s="3" t="n">
        <v>43</v>
      </c>
      <c r="C44" s="3" t="n">
        <v>65.97</v>
      </c>
      <c r="D44" s="3" t="n">
        <v>73.15000000000001</v>
      </c>
      <c r="E44" s="3" t="n">
        <v>0</v>
      </c>
      <c r="F44" s="3" t="n">
        <v>0</v>
      </c>
      <c r="G44" s="3" t="n">
        <v>8999926.85</v>
      </c>
      <c r="H44" s="3" t="n">
        <v>29</v>
      </c>
    </row>
    <row r="46">
      <c r="A46" s="2">
        <f>== Noise Masking — A [230,233,236,369,9M] ===</f>
        <v/>
      </c>
      <c r="B46" s="2" t="n"/>
      <c r="C46" s="2" t="n"/>
      <c r="D46" s="2" t="n"/>
      <c r="E46" s="2" t="n"/>
      <c r="F46" s="2" t="n"/>
      <c r="G46" s="2" t="n"/>
      <c r="H46" s="2" t="n"/>
    </row>
    <row r="47">
      <c r="A47" s="3" t="n">
        <v>230</v>
      </c>
      <c r="B47" s="3" t="n">
        <v>43</v>
      </c>
      <c r="C47" s="3" t="n">
        <v>66.88</v>
      </c>
      <c r="D47" s="3" t="n">
        <v>86.65000000000001</v>
      </c>
      <c r="E47" s="3" t="n">
        <v>2</v>
      </c>
      <c r="F47" s="3" t="n">
        <v>4.7</v>
      </c>
      <c r="G47" s="3" t="n">
        <v>143.35</v>
      </c>
      <c r="H47" s="3" t="n">
        <v>17.5</v>
      </c>
    </row>
    <row r="48">
      <c r="A48" s="3" t="n">
        <v>233</v>
      </c>
      <c r="B48" s="3" t="n">
        <v>43</v>
      </c>
      <c r="C48" s="3" t="n">
        <v>67.48</v>
      </c>
      <c r="D48" s="3" t="n">
        <v>78.95999999999999</v>
      </c>
      <c r="E48" s="3" t="n">
        <v>1</v>
      </c>
      <c r="F48" s="3" t="n">
        <v>2.3</v>
      </c>
      <c r="G48" s="3" t="n">
        <v>154.04</v>
      </c>
      <c r="H48" s="3" t="n">
        <v>17.7</v>
      </c>
    </row>
    <row r="49">
      <c r="A49" s="3" t="n">
        <v>236</v>
      </c>
      <c r="B49" s="3" t="n">
        <v>43</v>
      </c>
      <c r="C49" s="3" t="n">
        <v>74.84</v>
      </c>
      <c r="D49" s="3" t="n">
        <v>75.41</v>
      </c>
      <c r="E49" s="3" t="n">
        <v>1</v>
      </c>
      <c r="F49" s="3" t="n">
        <v>2.3</v>
      </c>
      <c r="G49" s="3" t="n">
        <v>160.59</v>
      </c>
      <c r="H49" s="3" t="n">
        <v>17.9</v>
      </c>
    </row>
    <row r="50">
      <c r="A50" s="3" t="n">
        <v>369</v>
      </c>
      <c r="B50" s="3" t="n">
        <v>43</v>
      </c>
      <c r="C50" s="3" t="n">
        <v>71.54000000000001</v>
      </c>
      <c r="D50" s="3" t="n">
        <v>75.75</v>
      </c>
      <c r="E50" s="3" t="n">
        <v>0</v>
      </c>
      <c r="F50" s="3" t="n">
        <v>0</v>
      </c>
      <c r="G50" s="3" t="n">
        <v>293.25</v>
      </c>
      <c r="H50" s="3" t="n">
        <v>19.3</v>
      </c>
    </row>
    <row r="51">
      <c r="A51" s="3" t="n">
        <v>9000000</v>
      </c>
      <c r="B51" s="3" t="n">
        <v>43</v>
      </c>
      <c r="C51" s="3" t="n">
        <v>66.42</v>
      </c>
      <c r="D51" s="3" t="n">
        <v>78.79000000000001</v>
      </c>
      <c r="E51" s="3" t="n">
        <v>0</v>
      </c>
      <c r="F51" s="3" t="n">
        <v>0</v>
      </c>
      <c r="G51" s="3" t="n">
        <v>8999921.210000001</v>
      </c>
      <c r="H51" s="3" t="n">
        <v>17.3</v>
      </c>
    </row>
    <row r="53">
      <c r="A53" s="2">
        <f>== Noise Masking — B [230,236,369,372,9M] ===</f>
        <v/>
      </c>
      <c r="B53" s="2" t="n"/>
      <c r="C53" s="2" t="n"/>
      <c r="D53" s="2" t="n"/>
      <c r="E53" s="2" t="n"/>
      <c r="F53" s="2" t="n"/>
      <c r="G53" s="2" t="n"/>
      <c r="H53" s="2" t="n"/>
    </row>
    <row r="54">
      <c r="A54" s="3" t="n">
        <v>230</v>
      </c>
      <c r="B54" s="3" t="n">
        <v>43</v>
      </c>
      <c r="C54" s="3" t="n">
        <v>81.02</v>
      </c>
      <c r="D54" s="3" t="n">
        <v>74.41</v>
      </c>
      <c r="E54" s="3" t="n">
        <v>0</v>
      </c>
      <c r="F54" s="3" t="n">
        <v>0</v>
      </c>
      <c r="G54" s="3" t="n">
        <v>155.59</v>
      </c>
      <c r="H54" s="3" t="n">
        <v>16.1</v>
      </c>
    </row>
    <row r="55">
      <c r="A55" s="3" t="n">
        <v>236</v>
      </c>
      <c r="B55" s="3" t="n">
        <v>43</v>
      </c>
      <c r="C55" s="3" t="n">
        <v>81.56</v>
      </c>
      <c r="D55" s="3" t="n">
        <v>73.59999999999999</v>
      </c>
      <c r="E55" s="3" t="n">
        <v>0</v>
      </c>
      <c r="F55" s="3" t="n">
        <v>0</v>
      </c>
      <c r="G55" s="3" t="n">
        <v>162.4</v>
      </c>
      <c r="H55" s="3" t="n">
        <v>17.7</v>
      </c>
    </row>
    <row r="56">
      <c r="A56" s="3" t="n">
        <v>369</v>
      </c>
      <c r="B56" s="3" t="n">
        <v>43</v>
      </c>
      <c r="C56" s="3" t="n">
        <v>80.28</v>
      </c>
      <c r="D56" s="3" t="n">
        <v>74.45999999999999</v>
      </c>
      <c r="E56" s="3" t="n">
        <v>0</v>
      </c>
      <c r="F56" s="3" t="n">
        <v>0</v>
      </c>
      <c r="G56" s="3" t="n">
        <v>294.54</v>
      </c>
      <c r="H56" s="3" t="n">
        <v>16.1</v>
      </c>
    </row>
    <row r="57">
      <c r="A57" s="3" t="n">
        <v>372</v>
      </c>
      <c r="B57" s="3" t="n">
        <v>43</v>
      </c>
      <c r="C57" s="3" t="n">
        <v>81.45999999999999</v>
      </c>
      <c r="D57" s="3" t="n">
        <v>74.41</v>
      </c>
      <c r="E57" s="3" t="n">
        <v>0</v>
      </c>
      <c r="F57" s="3" t="n">
        <v>0</v>
      </c>
      <c r="G57" s="3" t="n">
        <v>297.59</v>
      </c>
      <c r="H57" s="3" t="n">
        <v>17.7</v>
      </c>
    </row>
    <row r="58">
      <c r="A58" s="3" t="n">
        <v>9000000</v>
      </c>
      <c r="B58" s="3" t="n">
        <v>43</v>
      </c>
      <c r="C58" s="3" t="n">
        <v>81.33</v>
      </c>
      <c r="D58" s="3" t="n">
        <v>75.18000000000001</v>
      </c>
      <c r="E58" s="3" t="n">
        <v>0</v>
      </c>
      <c r="F58" s="3" t="n">
        <v>0</v>
      </c>
      <c r="G58" s="3" t="n">
        <v>8999924.82</v>
      </c>
      <c r="H58" s="3" t="n">
        <v>16.1</v>
      </c>
    </row>
    <row r="60">
      <c r="A60" s="2">
        <f>== Noise Masking — C [172,233,369,372,9M] ===</f>
        <v/>
      </c>
      <c r="B60" s="2" t="n"/>
      <c r="C60" s="2" t="n"/>
      <c r="D60" s="2" t="n"/>
      <c r="E60" s="2" t="n"/>
      <c r="F60" s="2" t="n"/>
      <c r="G60" s="2" t="n"/>
      <c r="H60" s="2" t="n"/>
    </row>
    <row r="61">
      <c r="A61" s="3" t="n">
        <v>172</v>
      </c>
      <c r="B61" s="3" t="n">
        <v>43</v>
      </c>
      <c r="C61" s="3" t="n">
        <v>78.79000000000001</v>
      </c>
      <c r="D61" s="3" t="n">
        <v>73.7</v>
      </c>
      <c r="E61" s="3" t="n">
        <v>2</v>
      </c>
      <c r="F61" s="3" t="n">
        <v>4.7</v>
      </c>
      <c r="G61" s="3" t="n">
        <v>98.3</v>
      </c>
      <c r="H61" s="3" t="n">
        <v>19</v>
      </c>
    </row>
    <row r="62">
      <c r="A62" s="3" t="n">
        <v>233</v>
      </c>
      <c r="B62" s="3" t="n">
        <v>43</v>
      </c>
      <c r="C62" s="3" t="n">
        <v>78.45</v>
      </c>
      <c r="D62" s="3" t="n">
        <v>75.08</v>
      </c>
      <c r="E62" s="3" t="n">
        <v>0</v>
      </c>
      <c r="F62" s="3" t="n">
        <v>0</v>
      </c>
      <c r="G62" s="3" t="n">
        <v>157.92</v>
      </c>
      <c r="H62" s="3" t="n">
        <v>15.1</v>
      </c>
    </row>
    <row r="63">
      <c r="A63" s="3" t="n">
        <v>369</v>
      </c>
      <c r="B63" s="3" t="n">
        <v>43</v>
      </c>
      <c r="C63" s="3" t="n">
        <v>77.69</v>
      </c>
      <c r="D63" s="3" t="n">
        <v>72.06</v>
      </c>
      <c r="E63" s="3" t="n">
        <v>0</v>
      </c>
      <c r="F63" s="3" t="n">
        <v>0</v>
      </c>
      <c r="G63" s="3" t="n">
        <v>296.94</v>
      </c>
      <c r="H63" s="3" t="n">
        <v>16</v>
      </c>
    </row>
    <row r="64">
      <c r="A64" s="3" t="n">
        <v>372</v>
      </c>
      <c r="B64" s="3" t="n">
        <v>43</v>
      </c>
      <c r="C64" s="3" t="n">
        <v>78.92</v>
      </c>
      <c r="D64" s="3" t="n">
        <v>74.22</v>
      </c>
      <c r="E64" s="3" t="n">
        <v>0</v>
      </c>
      <c r="F64" s="3" t="n">
        <v>0</v>
      </c>
      <c r="G64" s="3" t="n">
        <v>297.78</v>
      </c>
      <c r="H64" s="3" t="n">
        <v>15.9</v>
      </c>
    </row>
    <row r="65">
      <c r="A65" s="3" t="n">
        <v>9000000</v>
      </c>
      <c r="B65" s="3" t="n">
        <v>43</v>
      </c>
      <c r="C65" s="3" t="n">
        <v>79.22</v>
      </c>
      <c r="D65" s="3" t="n">
        <v>75.03</v>
      </c>
      <c r="E65" s="3" t="n">
        <v>0</v>
      </c>
      <c r="F65" s="3" t="n">
        <v>0</v>
      </c>
      <c r="G65" s="3" t="n">
        <v>8999924.970000001</v>
      </c>
      <c r="H65" s="3" t="n">
        <v>18.4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Agent</t>
        </is>
      </c>
      <c r="B1" s="1" t="inlineStr">
        <is>
          <t>Budgets</t>
        </is>
      </c>
      <c r="C1" s="1" t="inlineStr">
        <is>
          <t>Overall Avg Cost Red (%)</t>
        </is>
      </c>
      <c r="D1" s="1" t="inlineStr">
        <is>
          <t>Overall Avg Violation (%)</t>
        </is>
      </c>
      <c r="E1" s="1" t="inlineStr">
        <is>
          <t>Constrained Avg Cost Red (%)</t>
        </is>
      </c>
      <c r="F1" s="1" t="inlineStr">
        <is>
          <t>Constrained Avg Violation (%)</t>
        </is>
      </c>
      <c r="G1" s="1" t="inlineStr">
        <is>
          <t>Unconstrained Cost Red (%)</t>
        </is>
      </c>
    </row>
    <row r="2">
      <c r="A2" s="4" t="inlineStr">
        <is>
          <t>Noise Masking — B [230,236,369,372,9M]</t>
        </is>
      </c>
      <c r="B2" s="4" t="inlineStr">
        <is>
          <t>230, 236, 369, 372, 9000000</t>
        </is>
      </c>
      <c r="C2" s="4" t="n">
        <v>81.13</v>
      </c>
      <c r="D2" s="4" t="n">
        <v>0</v>
      </c>
      <c r="E2" s="4" t="n">
        <v>81.08</v>
      </c>
      <c r="F2" s="4" t="n">
        <v>0</v>
      </c>
      <c r="G2" s="4" t="n">
        <v>81.33</v>
      </c>
    </row>
    <row r="3">
      <c r="A3" s="3" t="inlineStr">
        <is>
          <t>Margin Barrier — B [230,236,369,372,9M]</t>
        </is>
      </c>
      <c r="B3" s="3" t="inlineStr">
        <is>
          <t>230, 236, 369, 372, 9000000</t>
        </is>
      </c>
      <c r="C3" s="3" t="n">
        <v>75.42</v>
      </c>
      <c r="D3" s="3" t="n">
        <v>0.46</v>
      </c>
      <c r="E3" s="3" t="n">
        <v>76.12</v>
      </c>
      <c r="F3" s="3" t="n">
        <v>0.57</v>
      </c>
      <c r="G3" s="3" t="n">
        <v>72.61</v>
      </c>
    </row>
    <row r="4">
      <c r="A4" s="3" t="inlineStr">
        <is>
          <t>Margin Barrier — A [230,233,236,369,9M]</t>
        </is>
      </c>
      <c r="B4" s="3" t="inlineStr">
        <is>
          <t>230, 233, 236, 369, 9000000</t>
        </is>
      </c>
      <c r="C4" s="3" t="n">
        <v>76.75</v>
      </c>
      <c r="D4" s="3" t="n">
        <v>0.92</v>
      </c>
      <c r="E4" s="3" t="n">
        <v>77.58</v>
      </c>
      <c r="F4" s="3" t="n">
        <v>1.15</v>
      </c>
      <c r="G4" s="3" t="n">
        <v>73.41</v>
      </c>
    </row>
    <row r="5">
      <c r="A5" s="3" t="inlineStr">
        <is>
          <t>Noise Masking — C [172,233,369,372,9M]</t>
        </is>
      </c>
      <c r="B5" s="3" t="inlineStr">
        <is>
          <t>172, 233, 369, 372, 9000000</t>
        </is>
      </c>
      <c r="C5" s="3" t="n">
        <v>78.61</v>
      </c>
      <c r="D5" s="3" t="n">
        <v>0.9399999999999999</v>
      </c>
      <c r="E5" s="3" t="n">
        <v>78.45999999999999</v>
      </c>
      <c r="F5" s="3" t="n">
        <v>1.18</v>
      </c>
      <c r="G5" s="3" t="n">
        <v>79.22</v>
      </c>
    </row>
    <row r="6">
      <c r="A6" s="3" t="inlineStr">
        <is>
          <t>Margin Barrier + FiLM — A [230,233,236,369,9M]</t>
        </is>
      </c>
      <c r="B6" s="3" t="inlineStr">
        <is>
          <t>230, 233, 236, 369, 9000000</t>
        </is>
      </c>
      <c r="C6" s="3" t="n">
        <v>82.78</v>
      </c>
      <c r="D6" s="3" t="n">
        <v>1.38</v>
      </c>
      <c r="E6" s="3" t="n">
        <v>83.2</v>
      </c>
      <c r="F6" s="3" t="n">
        <v>1.72</v>
      </c>
      <c r="G6" s="3" t="n">
        <v>81.11</v>
      </c>
    </row>
    <row r="7">
      <c r="A7" s="3" t="inlineStr">
        <is>
          <t>Margin Barrier + FiLM — B [230,236,369,372,9M]</t>
        </is>
      </c>
      <c r="B7" s="3" t="inlineStr">
        <is>
          <t>230, 236, 369, 372, 9000000</t>
        </is>
      </c>
      <c r="C7" s="3" t="n">
        <v>79.81999999999999</v>
      </c>
      <c r="D7" s="3" t="n">
        <v>1.4</v>
      </c>
      <c r="E7" s="3" t="n">
        <v>79.55</v>
      </c>
      <c r="F7" s="3" t="n">
        <v>1.75</v>
      </c>
      <c r="G7" s="3" t="n">
        <v>80.88</v>
      </c>
    </row>
    <row r="8">
      <c r="A8" s="3" t="inlineStr">
        <is>
          <t>Margin Barrier + FiLM — C [172,230,236,369,9M]</t>
        </is>
      </c>
      <c r="B8" s="3" t="inlineStr">
        <is>
          <t>172, 230, 236, 369, 9000000</t>
        </is>
      </c>
      <c r="C8" s="3" t="n">
        <v>69.34999999999999</v>
      </c>
      <c r="D8" s="3" t="n">
        <v>1.4</v>
      </c>
      <c r="E8" s="3" t="n">
        <v>70.19</v>
      </c>
      <c r="F8" s="3" t="n">
        <v>1.75</v>
      </c>
      <c r="G8" s="3" t="n">
        <v>65.97</v>
      </c>
    </row>
    <row r="9">
      <c r="A9" s="3" t="inlineStr">
        <is>
          <t>Noise Masking — A [230,233,236,369,9M]</t>
        </is>
      </c>
      <c r="B9" s="3" t="inlineStr">
        <is>
          <t>230, 233, 236, 369, 9000000</t>
        </is>
      </c>
      <c r="C9" s="3" t="n">
        <v>69.43000000000001</v>
      </c>
      <c r="D9" s="3" t="n">
        <v>1.86</v>
      </c>
      <c r="E9" s="3" t="n">
        <v>70.19</v>
      </c>
      <c r="F9" s="3" t="n">
        <v>2.33</v>
      </c>
      <c r="G9" s="3" t="n">
        <v>66.42</v>
      </c>
    </row>
    <row r="10">
      <c r="A10" s="3" t="inlineStr">
        <is>
          <t>Unconstrained PPO (baseline)</t>
        </is>
      </c>
      <c r="B10" s="3" t="inlineStr">
        <is>
          <t>172, 230, 233, 236, 369, 372, 9000000</t>
        </is>
      </c>
      <c r="C10" s="3" t="n">
        <v>86.91</v>
      </c>
      <c r="D10" s="3" t="n">
        <v>10.97</v>
      </c>
      <c r="E10" s="3" t="n">
        <v>86.91</v>
      </c>
      <c r="F10" s="3" t="n">
        <v>12.8</v>
      </c>
      <c r="G10" s="3" t="n">
        <v>86.91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2026-03-19T09:33:03Z</dcterms:created>
  <dcterms:modified xsi:type="dcterms:W3CDTF">2026-03-19T09:33:03Z</dcterms:modified>
</cp:coreProperties>
</file>