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V3 Agents" sheetId="1" state="visible" r:id="rId1"/>
    <sheet name="Quick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Avg Cost Reduction (%)</t>
        </is>
      </c>
      <c r="D1" s="1" t="inlineStr">
        <is>
          <t>Avg Final Noise</t>
        </is>
      </c>
      <c r="E1" s="1" t="inlineStr">
        <is>
          <t>Violations</t>
        </is>
      </c>
      <c r="F1" s="1" t="inlineStr">
        <is>
          <t>Violation Rate (%)</t>
        </is>
      </c>
      <c r="G1" s="1" t="inlineStr">
        <is>
          <t>Avg Noise Margin</t>
        </is>
      </c>
      <c r="H1" s="1" t="inlineStr">
        <is>
          <t>Avg Steps</t>
        </is>
      </c>
    </row>
    <row r="2">
      <c r="A2">
        <f>== UNCONSTRAINED PPO BASELINE ===</f>
        <v/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n">
        <v>200</v>
      </c>
      <c r="B3" t="n">
        <v>43</v>
      </c>
      <c r="C3" t="n">
        <v>86.91</v>
      </c>
      <c r="D3" t="n">
        <v>146.9</v>
      </c>
      <c r="E3" t="n">
        <v>10</v>
      </c>
      <c r="F3" t="n">
        <v>23.3</v>
      </c>
      <c r="G3" t="n">
        <v>-203</v>
      </c>
      <c r="H3" t="inlineStr"/>
    </row>
    <row r="4">
      <c r="A4" t="n">
        <v>240</v>
      </c>
      <c r="B4" t="n">
        <v>43</v>
      </c>
      <c r="C4" t="n">
        <v>86.91</v>
      </c>
      <c r="D4" t="n">
        <v>146.9</v>
      </c>
      <c r="E4" t="n">
        <v>4</v>
      </c>
      <c r="F4" t="n">
        <v>9.300000000000001</v>
      </c>
      <c r="G4" t="n">
        <v>-163</v>
      </c>
      <c r="H4" t="inlineStr"/>
    </row>
    <row r="5">
      <c r="A5" t="n">
        <v>300</v>
      </c>
      <c r="B5" t="n">
        <v>43</v>
      </c>
      <c r="C5" t="n">
        <v>86.91</v>
      </c>
      <c r="D5" t="n">
        <v>146.9</v>
      </c>
      <c r="E5" t="n">
        <v>2</v>
      </c>
      <c r="F5" t="n">
        <v>4.7</v>
      </c>
      <c r="G5" t="n">
        <v>-103</v>
      </c>
      <c r="H5" t="inlineStr"/>
    </row>
    <row r="6">
      <c r="A6" t="n">
        <v>9000000</v>
      </c>
      <c r="B6" t="n">
        <v>43</v>
      </c>
      <c r="C6" t="n">
        <v>86.91</v>
      </c>
      <c r="D6" t="n">
        <v>146.9</v>
      </c>
      <c r="E6" t="n">
        <v>0</v>
      </c>
      <c r="F6" t="n">
        <v>0</v>
      </c>
      <c r="G6" t="n">
        <v>8999597</v>
      </c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>
        <f>== Margin Barrier — 6b [180,200,220,240,300,9M] ===</f>
        <v/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n">
        <v>180</v>
      </c>
      <c r="B9" t="n">
        <v>43</v>
      </c>
      <c r="C9" t="n">
        <v>74.67</v>
      </c>
      <c r="D9" t="n">
        <v>81.05</v>
      </c>
      <c r="E9" t="n">
        <v>4</v>
      </c>
      <c r="F9" t="n">
        <v>9.300000000000001</v>
      </c>
      <c r="G9" t="n">
        <v>98.95</v>
      </c>
      <c r="H9" t="n">
        <v>15.7</v>
      </c>
    </row>
    <row r="10">
      <c r="A10" t="n">
        <v>200</v>
      </c>
      <c r="B10" t="n">
        <v>43</v>
      </c>
      <c r="C10" t="n">
        <v>76.95999999999999</v>
      </c>
      <c r="D10" t="n">
        <v>81.33</v>
      </c>
      <c r="E10" t="n">
        <v>3</v>
      </c>
      <c r="F10" t="n">
        <v>7</v>
      </c>
      <c r="G10" t="n">
        <v>118.67</v>
      </c>
      <c r="H10" t="n">
        <v>11.2</v>
      </c>
    </row>
    <row r="11">
      <c r="A11" t="n">
        <v>220</v>
      </c>
      <c r="B11" t="n">
        <v>43</v>
      </c>
      <c r="C11" t="n">
        <v>76.27</v>
      </c>
      <c r="D11" t="n">
        <v>83.64</v>
      </c>
      <c r="E11" t="n">
        <v>2</v>
      </c>
      <c r="F11" t="n">
        <v>4.7</v>
      </c>
      <c r="G11" t="n">
        <v>136.36</v>
      </c>
      <c r="H11" t="n">
        <v>13</v>
      </c>
    </row>
    <row r="12">
      <c r="A12" t="n">
        <v>240</v>
      </c>
      <c r="B12" t="n">
        <v>43</v>
      </c>
      <c r="C12" t="n">
        <v>71.44</v>
      </c>
      <c r="D12" t="n">
        <v>134.02</v>
      </c>
      <c r="E12" t="n">
        <v>1</v>
      </c>
      <c r="F12" t="n">
        <v>2.3</v>
      </c>
      <c r="G12" t="n">
        <v>105.98</v>
      </c>
      <c r="H12" t="n">
        <v>14.6</v>
      </c>
    </row>
    <row r="13">
      <c r="A13" t="n">
        <v>300</v>
      </c>
      <c r="B13" t="n">
        <v>43</v>
      </c>
      <c r="C13" t="n">
        <v>75.20999999999999</v>
      </c>
      <c r="D13" t="n">
        <v>80.95</v>
      </c>
      <c r="E13" t="n">
        <v>1</v>
      </c>
      <c r="F13" t="n">
        <v>2.3</v>
      </c>
      <c r="G13" t="n">
        <v>219.05</v>
      </c>
      <c r="H13" t="n">
        <v>15.6</v>
      </c>
    </row>
    <row r="14">
      <c r="A14" t="n">
        <v>9000000</v>
      </c>
      <c r="B14" t="n">
        <v>43</v>
      </c>
      <c r="C14" t="n">
        <v>75.04000000000001</v>
      </c>
      <c r="D14" t="n">
        <v>82.31</v>
      </c>
      <c r="E14" t="n">
        <v>0</v>
      </c>
      <c r="F14" t="n">
        <v>0</v>
      </c>
      <c r="G14" t="n">
        <v>8999917.689999999</v>
      </c>
      <c r="H14" t="n">
        <v>14.8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>
        <f>== Noise Masking + Embed — 6b [180,200,220,240,300,9M] ===</f>
        <v/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n">
        <v>180</v>
      </c>
      <c r="B17" t="n">
        <v>43</v>
      </c>
      <c r="C17" t="n">
        <v>63.35</v>
      </c>
      <c r="D17" t="n">
        <v>71.03</v>
      </c>
      <c r="E17" t="n">
        <v>3</v>
      </c>
      <c r="F17" t="n">
        <v>7</v>
      </c>
      <c r="G17" t="n">
        <v>108.97</v>
      </c>
      <c r="H17" t="n">
        <v>16.2</v>
      </c>
    </row>
    <row r="18">
      <c r="A18" t="n">
        <v>200</v>
      </c>
      <c r="B18" t="n">
        <v>43</v>
      </c>
      <c r="C18" t="n">
        <v>65.09999999999999</v>
      </c>
      <c r="D18" t="n">
        <v>69.95</v>
      </c>
      <c r="E18" t="n">
        <v>2</v>
      </c>
      <c r="F18" t="n">
        <v>4.7</v>
      </c>
      <c r="G18" t="n">
        <v>130.05</v>
      </c>
      <c r="H18" t="n">
        <v>18.3</v>
      </c>
    </row>
    <row r="19">
      <c r="A19" t="n">
        <v>220</v>
      </c>
      <c r="B19" t="n">
        <v>43</v>
      </c>
      <c r="C19" t="n">
        <v>58.31</v>
      </c>
      <c r="D19" t="n">
        <v>72.42</v>
      </c>
      <c r="E19" t="n">
        <v>1</v>
      </c>
      <c r="F19" t="n">
        <v>2.3</v>
      </c>
      <c r="G19" t="n">
        <v>147.58</v>
      </c>
      <c r="H19" t="n">
        <v>18.1</v>
      </c>
    </row>
    <row r="20">
      <c r="A20" t="n">
        <v>240</v>
      </c>
      <c r="B20" t="n">
        <v>43</v>
      </c>
      <c r="C20" t="n">
        <v>61.2</v>
      </c>
      <c r="D20" t="n">
        <v>74.11</v>
      </c>
      <c r="E20" t="n">
        <v>1</v>
      </c>
      <c r="F20" t="n">
        <v>2.3</v>
      </c>
      <c r="G20" t="n">
        <v>165.89</v>
      </c>
      <c r="H20" t="n">
        <v>18.1</v>
      </c>
    </row>
    <row r="21">
      <c r="A21" t="n">
        <v>300</v>
      </c>
      <c r="B21" t="n">
        <v>43</v>
      </c>
      <c r="C21" t="n">
        <v>66.59999999999999</v>
      </c>
      <c r="D21" t="n">
        <v>68.26000000000001</v>
      </c>
      <c r="E21" t="n">
        <v>0</v>
      </c>
      <c r="F21" t="n">
        <v>0</v>
      </c>
      <c r="G21" t="n">
        <v>231.74</v>
      </c>
      <c r="H21" t="n">
        <v>13.3</v>
      </c>
    </row>
    <row r="22">
      <c r="A22" t="n">
        <v>9000000</v>
      </c>
      <c r="B22" t="n">
        <v>43</v>
      </c>
      <c r="C22" t="n">
        <v>61.12</v>
      </c>
      <c r="D22" t="n">
        <v>71.95</v>
      </c>
      <c r="E22" t="n">
        <v>0</v>
      </c>
      <c r="F22" t="n">
        <v>0</v>
      </c>
      <c r="G22" t="n">
        <v>8999928.050000001</v>
      </c>
      <c r="H22" t="n">
        <v>19.5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  <row r="24">
      <c r="A24">
        <f>== Margin Barrier — 3b [200,300,9M] ===</f>
        <v/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n">
        <v>200</v>
      </c>
      <c r="B25" t="n">
        <v>43</v>
      </c>
      <c r="C25" t="n">
        <v>78.90000000000001</v>
      </c>
      <c r="D25" t="n">
        <v>74.97</v>
      </c>
      <c r="E25" t="n">
        <v>1</v>
      </c>
      <c r="F25" t="n">
        <v>2.3</v>
      </c>
      <c r="G25" t="n">
        <v>125.03</v>
      </c>
      <c r="H25" t="n">
        <v>64.59999999999999</v>
      </c>
    </row>
    <row r="26">
      <c r="A26" t="n">
        <v>300</v>
      </c>
      <c r="B26" t="n">
        <v>43</v>
      </c>
      <c r="C26" t="n">
        <v>74.77</v>
      </c>
      <c r="D26" t="n">
        <v>80.64</v>
      </c>
      <c r="E26" t="n">
        <v>1</v>
      </c>
      <c r="F26" t="n">
        <v>2.3</v>
      </c>
      <c r="G26" t="n">
        <v>219.36</v>
      </c>
      <c r="H26" t="n">
        <v>68.3</v>
      </c>
    </row>
    <row r="27">
      <c r="A27" t="n">
        <v>9000000</v>
      </c>
      <c r="B27" t="n">
        <v>43</v>
      </c>
      <c r="C27" t="n">
        <v>75.92</v>
      </c>
      <c r="D27" t="n">
        <v>80.64</v>
      </c>
      <c r="E27" t="n">
        <v>0</v>
      </c>
      <c r="F27" t="n">
        <v>0</v>
      </c>
      <c r="G27" t="n">
        <v>8999919.359999999</v>
      </c>
      <c r="H27" t="n">
        <v>67.90000000000001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</row>
    <row r="29">
      <c r="A29">
        <f>== Noise Masking + Embed — 3b [200,300,9M] ===</f>
        <v/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n">
        <v>200</v>
      </c>
      <c r="B30" t="n">
        <v>43</v>
      </c>
      <c r="C30" t="n">
        <v>66.06</v>
      </c>
      <c r="D30" t="n">
        <v>78.70999999999999</v>
      </c>
      <c r="E30" t="n">
        <v>2</v>
      </c>
      <c r="F30" t="n">
        <v>4.7</v>
      </c>
      <c r="G30" t="n">
        <v>121.29</v>
      </c>
      <c r="H30" t="n">
        <v>27</v>
      </c>
    </row>
    <row r="31">
      <c r="A31" t="n">
        <v>300</v>
      </c>
      <c r="B31" t="n">
        <v>43</v>
      </c>
      <c r="C31" t="n">
        <v>66.22</v>
      </c>
      <c r="D31" t="n">
        <v>75.39</v>
      </c>
      <c r="E31" t="n">
        <v>0</v>
      </c>
      <c r="F31" t="n">
        <v>0</v>
      </c>
      <c r="G31" t="n">
        <v>224.61</v>
      </c>
      <c r="H31" t="n">
        <v>26.7</v>
      </c>
    </row>
    <row r="32">
      <c r="A32" t="n">
        <v>9000000</v>
      </c>
      <c r="B32" t="n">
        <v>43</v>
      </c>
      <c r="C32" t="n">
        <v>65.59</v>
      </c>
      <c r="D32" t="n">
        <v>75.55</v>
      </c>
      <c r="E32" t="n">
        <v>0</v>
      </c>
      <c r="F32" t="n">
        <v>0</v>
      </c>
      <c r="G32" t="n">
        <v>8999924.449999999</v>
      </c>
      <c r="H32" t="n">
        <v>25.1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</row>
    <row r="34">
      <c r="A34">
        <f>== Noise Masking + Curriculum — 3b [200,300,9M] ===</f>
        <v/>
      </c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n">
        <v>200</v>
      </c>
      <c r="B35" t="n">
        <v>43</v>
      </c>
      <c r="C35" t="n">
        <v>71.70999999999999</v>
      </c>
      <c r="D35" t="n">
        <v>78.83</v>
      </c>
      <c r="E35" t="n">
        <v>2</v>
      </c>
      <c r="F35" t="n">
        <v>4.7</v>
      </c>
      <c r="G35" t="n">
        <v>121.17</v>
      </c>
      <c r="H35" t="n">
        <v>14</v>
      </c>
    </row>
    <row r="36">
      <c r="A36" t="n">
        <v>300</v>
      </c>
      <c r="B36" t="n">
        <v>43</v>
      </c>
      <c r="C36" t="n">
        <v>67.23</v>
      </c>
      <c r="D36" t="n">
        <v>75.56</v>
      </c>
      <c r="E36" t="n">
        <v>0</v>
      </c>
      <c r="F36" t="n">
        <v>0</v>
      </c>
      <c r="G36" t="n">
        <v>224.44</v>
      </c>
      <c r="H36" t="n">
        <v>15.2</v>
      </c>
    </row>
    <row r="37">
      <c r="A37" t="n">
        <v>9000000</v>
      </c>
      <c r="B37" t="n">
        <v>43</v>
      </c>
      <c r="C37" t="n">
        <v>67.58</v>
      </c>
      <c r="D37" t="n">
        <v>75.56</v>
      </c>
      <c r="E37" t="n">
        <v>0</v>
      </c>
      <c r="F37" t="n">
        <v>0</v>
      </c>
      <c r="G37" t="n">
        <v>8999924.439999999</v>
      </c>
      <c r="H37" t="n">
        <v>14.1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</row>
    <row r="39">
      <c r="A39">
        <f>== Margin Barrier + FiLM — 3b [200,300,9M] ===</f>
        <v/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n">
        <v>200</v>
      </c>
      <c r="B40" t="n">
        <v>43</v>
      </c>
      <c r="C40" t="n">
        <v>82.81999999999999</v>
      </c>
      <c r="D40" t="n">
        <v>68.34</v>
      </c>
      <c r="E40" t="n">
        <v>1</v>
      </c>
      <c r="F40" t="n">
        <v>2.3</v>
      </c>
      <c r="G40" t="n">
        <v>131.66</v>
      </c>
      <c r="H40" t="n">
        <v>17.7</v>
      </c>
    </row>
    <row r="41">
      <c r="A41" t="n">
        <v>300</v>
      </c>
      <c r="B41" t="n">
        <v>43</v>
      </c>
      <c r="C41" t="n">
        <v>82</v>
      </c>
      <c r="D41" t="n">
        <v>68.87</v>
      </c>
      <c r="E41" t="n">
        <v>0</v>
      </c>
      <c r="F41" t="n">
        <v>0</v>
      </c>
      <c r="G41" t="n">
        <v>231.13</v>
      </c>
      <c r="H41" t="n">
        <v>19.3</v>
      </c>
    </row>
    <row r="42">
      <c r="A42" t="n">
        <v>9000000</v>
      </c>
      <c r="B42" t="n">
        <v>43</v>
      </c>
      <c r="C42" t="n">
        <v>82.15000000000001</v>
      </c>
      <c r="D42" t="n">
        <v>68.95999999999999</v>
      </c>
      <c r="E42" t="n">
        <v>0</v>
      </c>
      <c r="F42" t="n">
        <v>0</v>
      </c>
      <c r="G42" t="n">
        <v>8999931.039999999</v>
      </c>
      <c r="H42" t="n">
        <v>17.8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</row>
    <row r="44">
      <c r="A44">
        <f>== Margin Barrier — 5b [180,200,220,240,9M] ===</f>
        <v/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n">
        <v>180</v>
      </c>
      <c r="B45" t="n">
        <v>43</v>
      </c>
      <c r="C45" t="n">
        <v>74.81</v>
      </c>
      <c r="D45" t="n">
        <v>72.67</v>
      </c>
      <c r="E45" t="n">
        <v>3</v>
      </c>
      <c r="F45" t="n">
        <v>7</v>
      </c>
      <c r="G45" t="n">
        <v>107.33</v>
      </c>
      <c r="H45" t="n">
        <v>20</v>
      </c>
    </row>
    <row r="46">
      <c r="A46" t="n">
        <v>200</v>
      </c>
      <c r="B46" t="n">
        <v>43</v>
      </c>
      <c r="C46" t="n">
        <v>71.56</v>
      </c>
      <c r="D46" t="n">
        <v>73.09999999999999</v>
      </c>
      <c r="E46" t="n">
        <v>3</v>
      </c>
      <c r="F46" t="n">
        <v>7</v>
      </c>
      <c r="G46" t="n">
        <v>126.9</v>
      </c>
      <c r="H46" t="n">
        <v>17.3</v>
      </c>
    </row>
    <row r="47">
      <c r="A47" t="n">
        <v>220</v>
      </c>
      <c r="B47" t="n">
        <v>43</v>
      </c>
      <c r="C47" t="n">
        <v>70.44</v>
      </c>
      <c r="D47" t="n">
        <v>73.23999999999999</v>
      </c>
      <c r="E47" t="n">
        <v>3</v>
      </c>
      <c r="F47" t="n">
        <v>7</v>
      </c>
      <c r="G47" t="n">
        <v>146.76</v>
      </c>
      <c r="H47" t="n">
        <v>19.1</v>
      </c>
    </row>
    <row r="48">
      <c r="A48" t="n">
        <v>240</v>
      </c>
      <c r="B48" t="n">
        <v>43</v>
      </c>
      <c r="C48" t="n">
        <v>77.72</v>
      </c>
      <c r="D48" t="n">
        <v>69.73999999999999</v>
      </c>
      <c r="E48" t="n">
        <v>1</v>
      </c>
      <c r="F48" t="n">
        <v>2.3</v>
      </c>
      <c r="G48" t="n">
        <v>170.26</v>
      </c>
      <c r="H48" t="n">
        <v>17.1</v>
      </c>
    </row>
    <row r="49">
      <c r="A49" t="n">
        <v>9000000</v>
      </c>
      <c r="B49" t="n">
        <v>43</v>
      </c>
      <c r="C49" t="n">
        <v>74.40000000000001</v>
      </c>
      <c r="D49" t="n">
        <v>71.56999999999999</v>
      </c>
      <c r="E49" t="n">
        <v>0</v>
      </c>
      <c r="F49" t="n">
        <v>0</v>
      </c>
      <c r="G49" t="n">
        <v>8999928.43</v>
      </c>
      <c r="H49" t="n">
        <v>17.8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</row>
    <row r="51">
      <c r="A51">
        <f>== Noise Masking + Embed — 5b [180,200,220,240,9M] ===</f>
        <v/>
      </c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n">
        <v>180</v>
      </c>
      <c r="B52" t="n">
        <v>43</v>
      </c>
      <c r="C52" t="n">
        <v>83.09999999999999</v>
      </c>
      <c r="D52" t="n">
        <v>71.36</v>
      </c>
      <c r="E52" t="n">
        <v>2</v>
      </c>
      <c r="F52" t="n">
        <v>4.7</v>
      </c>
      <c r="G52" t="n">
        <v>108.64</v>
      </c>
      <c r="H52" t="n">
        <v>20.9</v>
      </c>
    </row>
    <row r="53">
      <c r="A53" t="n">
        <v>200</v>
      </c>
      <c r="B53" t="n">
        <v>43</v>
      </c>
      <c r="C53" t="n">
        <v>82.81</v>
      </c>
      <c r="D53" t="n">
        <v>69.86</v>
      </c>
      <c r="E53" t="n">
        <v>1</v>
      </c>
      <c r="F53" t="n">
        <v>2.3</v>
      </c>
      <c r="G53" t="n">
        <v>130.14</v>
      </c>
      <c r="H53" t="n">
        <v>18.4</v>
      </c>
    </row>
    <row r="54">
      <c r="A54" t="n">
        <v>220</v>
      </c>
      <c r="B54" t="n">
        <v>43</v>
      </c>
      <c r="C54" t="n">
        <v>81.36</v>
      </c>
      <c r="D54" t="n">
        <v>73.08</v>
      </c>
      <c r="E54" t="n">
        <v>1</v>
      </c>
      <c r="F54" t="n">
        <v>2.3</v>
      </c>
      <c r="G54" t="n">
        <v>146.92</v>
      </c>
      <c r="H54" t="n">
        <v>19.5</v>
      </c>
    </row>
    <row r="55">
      <c r="A55" t="n">
        <v>240</v>
      </c>
      <c r="B55" t="n">
        <v>43</v>
      </c>
      <c r="C55" t="n">
        <v>84.09999999999999</v>
      </c>
      <c r="D55" t="n">
        <v>72.44</v>
      </c>
      <c r="E55" t="n">
        <v>0</v>
      </c>
      <c r="F55" t="n">
        <v>0</v>
      </c>
      <c r="G55" t="n">
        <v>167.56</v>
      </c>
      <c r="H55" t="n">
        <v>22.6</v>
      </c>
    </row>
    <row r="56">
      <c r="A56" t="n">
        <v>9000000</v>
      </c>
      <c r="B56" t="n">
        <v>43</v>
      </c>
      <c r="C56" t="n">
        <v>82.31999999999999</v>
      </c>
      <c r="D56" t="n">
        <v>71.09</v>
      </c>
      <c r="E56" t="n">
        <v>0</v>
      </c>
      <c r="F56" t="n">
        <v>0</v>
      </c>
      <c r="G56" t="n">
        <v>8999928.91</v>
      </c>
      <c r="H56" t="n">
        <v>18.8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</row>
    <row r="58">
      <c r="A58">
        <f>== Margin Barrier + FiLM — 5b [180,200,220,240,9M] ===</f>
        <v/>
      </c>
      <c r="B58" t="inlineStr"/>
      <c r="C58" t="inlineStr"/>
      <c r="D58" t="inlineStr"/>
      <c r="E58" t="inlineStr"/>
      <c r="F58" t="inlineStr"/>
      <c r="G58" t="inlineStr"/>
      <c r="H58" t="inlineStr"/>
    </row>
    <row r="59">
      <c r="A59" t="n">
        <v>180</v>
      </c>
      <c r="B59" t="n">
        <v>43</v>
      </c>
      <c r="C59" t="n">
        <v>72.03</v>
      </c>
      <c r="D59" t="n">
        <v>77.03</v>
      </c>
      <c r="E59" t="n">
        <v>3</v>
      </c>
      <c r="F59" t="n">
        <v>7</v>
      </c>
      <c r="G59" t="n">
        <v>102.97</v>
      </c>
      <c r="H59" t="n">
        <v>22.7</v>
      </c>
    </row>
    <row r="60">
      <c r="A60" t="n">
        <v>200</v>
      </c>
      <c r="B60" t="n">
        <v>43</v>
      </c>
      <c r="C60" t="n">
        <v>65.04000000000001</v>
      </c>
      <c r="D60" t="n">
        <v>77.56</v>
      </c>
      <c r="E60" t="n">
        <v>3</v>
      </c>
      <c r="F60" t="n">
        <v>7</v>
      </c>
      <c r="G60" t="n">
        <v>122.44</v>
      </c>
      <c r="H60" t="n">
        <v>23.8</v>
      </c>
    </row>
    <row r="61">
      <c r="A61" t="n">
        <v>220</v>
      </c>
      <c r="B61" t="n">
        <v>43</v>
      </c>
      <c r="C61" t="n">
        <v>64.89</v>
      </c>
      <c r="D61" t="n">
        <v>77.79000000000001</v>
      </c>
      <c r="E61" t="n">
        <v>3</v>
      </c>
      <c r="F61" t="n">
        <v>7</v>
      </c>
      <c r="G61" t="n">
        <v>142.21</v>
      </c>
      <c r="H61" t="n">
        <v>24</v>
      </c>
    </row>
    <row r="62">
      <c r="A62" t="n">
        <v>240</v>
      </c>
      <c r="B62" t="n">
        <v>43</v>
      </c>
      <c r="C62" t="n">
        <v>70.42</v>
      </c>
      <c r="D62" t="n">
        <v>75.56</v>
      </c>
      <c r="E62" t="n">
        <v>1</v>
      </c>
      <c r="F62" t="n">
        <v>2.3</v>
      </c>
      <c r="G62" t="n">
        <v>164.44</v>
      </c>
      <c r="H62" t="n">
        <v>22.8</v>
      </c>
    </row>
    <row r="63">
      <c r="A63" t="n">
        <v>9000000</v>
      </c>
      <c r="B63" t="n">
        <v>43</v>
      </c>
      <c r="C63" t="n">
        <v>68.23</v>
      </c>
      <c r="D63" t="n">
        <v>77.76000000000001</v>
      </c>
      <c r="E63" t="n">
        <v>0</v>
      </c>
      <c r="F63" t="n">
        <v>0</v>
      </c>
      <c r="G63" t="n">
        <v>8999922.24</v>
      </c>
      <c r="H63" t="n">
        <v>23.5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Budgets</t>
        </is>
      </c>
      <c r="C1" s="1" t="inlineStr">
        <is>
          <t>Overall Avg Cost Red (%)</t>
        </is>
      </c>
      <c r="D1" s="1" t="inlineStr">
        <is>
          <t>Overall Avg Violation (%)</t>
        </is>
      </c>
      <c r="E1" s="1" t="inlineStr">
        <is>
          <t>Constrained Avg Cost Red (%)</t>
        </is>
      </c>
      <c r="F1" s="1" t="inlineStr">
        <is>
          <t>Constrained Avg Violation (%)</t>
        </is>
      </c>
      <c r="G1" s="1" t="inlineStr">
        <is>
          <t>Unconstrained Cost Red (%)</t>
        </is>
      </c>
    </row>
    <row r="2">
      <c r="A2" t="inlineStr">
        <is>
          <t>Margin Barrier + FiLM — 3b [200,300,9M]</t>
        </is>
      </c>
      <c r="B2" t="inlineStr">
        <is>
          <t>200, 300, 9000000</t>
        </is>
      </c>
      <c r="C2" t="n">
        <v>82.31999999999999</v>
      </c>
      <c r="D2" t="n">
        <v>0.77</v>
      </c>
      <c r="E2" t="n">
        <v>82.41</v>
      </c>
      <c r="F2" t="n">
        <v>1.15</v>
      </c>
      <c r="G2" t="n">
        <v>82.15000000000001</v>
      </c>
    </row>
    <row r="3">
      <c r="A3" t="inlineStr">
        <is>
          <t>Margin Barrier — 3b [200,300,9M]</t>
        </is>
      </c>
      <c r="B3" t="inlineStr">
        <is>
          <t>200, 300, 9000000</t>
        </is>
      </c>
      <c r="C3" t="n">
        <v>76.53</v>
      </c>
      <c r="D3" t="n">
        <v>1.53</v>
      </c>
      <c r="E3" t="n">
        <v>76.84</v>
      </c>
      <c r="F3" t="n">
        <v>2.3</v>
      </c>
      <c r="G3" t="n">
        <v>75.92</v>
      </c>
    </row>
    <row r="4">
      <c r="A4" t="inlineStr">
        <is>
          <t>Noise Masking + Curriculum — 3b [200,300,9M]</t>
        </is>
      </c>
      <c r="B4" t="inlineStr">
        <is>
          <t>200, 300, 9000000</t>
        </is>
      </c>
      <c r="C4" t="n">
        <v>68.84</v>
      </c>
      <c r="D4" t="n">
        <v>1.57</v>
      </c>
      <c r="E4" t="n">
        <v>69.47</v>
      </c>
      <c r="F4" t="n">
        <v>2.35</v>
      </c>
      <c r="G4" t="n">
        <v>67.58</v>
      </c>
    </row>
    <row r="5">
      <c r="A5" t="inlineStr">
        <is>
          <t>Noise Masking + Embed — 3b [200,300,9M]</t>
        </is>
      </c>
      <c r="B5" t="inlineStr">
        <is>
          <t>200, 300, 9000000</t>
        </is>
      </c>
      <c r="C5" t="n">
        <v>65.95999999999999</v>
      </c>
      <c r="D5" t="n">
        <v>1.57</v>
      </c>
      <c r="E5" t="n">
        <v>66.14</v>
      </c>
      <c r="F5" t="n">
        <v>2.35</v>
      </c>
      <c r="G5" t="n">
        <v>65.59</v>
      </c>
    </row>
    <row r="6">
      <c r="A6" t="inlineStr">
        <is>
          <t>Noise Masking + Embed — 5b [180,200,220,240,9M]</t>
        </is>
      </c>
      <c r="B6" t="inlineStr">
        <is>
          <t>180, 200, 220, 240, 9000000</t>
        </is>
      </c>
      <c r="C6" t="n">
        <v>82.73999999999999</v>
      </c>
      <c r="D6" t="n">
        <v>1.86</v>
      </c>
      <c r="E6" t="n">
        <v>82.84</v>
      </c>
      <c r="F6" t="n">
        <v>2.33</v>
      </c>
      <c r="G6" t="n">
        <v>82.31999999999999</v>
      </c>
    </row>
    <row r="7">
      <c r="A7" t="inlineStr">
        <is>
          <t>Noise Masking + Embed — 6b [180,200,220,240,300,9M]</t>
        </is>
      </c>
      <c r="B7" t="inlineStr">
        <is>
          <t>180, 200, 220, 240, 300, 9000000</t>
        </is>
      </c>
      <c r="C7" t="n">
        <v>62.61</v>
      </c>
      <c r="D7" t="n">
        <v>2.72</v>
      </c>
      <c r="E7" t="n">
        <v>62.91</v>
      </c>
      <c r="F7" t="n">
        <v>3.26</v>
      </c>
      <c r="G7" t="n">
        <v>61.12</v>
      </c>
    </row>
    <row r="8">
      <c r="A8" t="inlineStr">
        <is>
          <t>Margin Barrier — 6b [180,200,220,240,300,9M]</t>
        </is>
      </c>
      <c r="B8" t="inlineStr">
        <is>
          <t>180, 200, 220, 240, 300, 9000000</t>
        </is>
      </c>
      <c r="C8" t="n">
        <v>74.93000000000001</v>
      </c>
      <c r="D8" t="n">
        <v>4.27</v>
      </c>
      <c r="E8" t="n">
        <v>74.91</v>
      </c>
      <c r="F8" t="n">
        <v>5.12</v>
      </c>
      <c r="G8" t="n">
        <v>75.04000000000001</v>
      </c>
    </row>
    <row r="9">
      <c r="A9" t="inlineStr">
        <is>
          <t>Margin Barrier — 5b [180,200,220,240,9M]</t>
        </is>
      </c>
      <c r="B9" t="inlineStr">
        <is>
          <t>180, 200, 220, 240, 9000000</t>
        </is>
      </c>
      <c r="C9" t="n">
        <v>73.79000000000001</v>
      </c>
      <c r="D9" t="n">
        <v>4.66</v>
      </c>
      <c r="E9" t="n">
        <v>73.63</v>
      </c>
      <c r="F9" t="n">
        <v>5.82</v>
      </c>
      <c r="G9" t="n">
        <v>74.40000000000001</v>
      </c>
    </row>
    <row r="10">
      <c r="A10" t="inlineStr">
        <is>
          <t>Margin Barrier + FiLM — 5b [180,200,220,240,9M]</t>
        </is>
      </c>
      <c r="B10" t="inlineStr">
        <is>
          <t>180, 200, 220, 240, 9000000</t>
        </is>
      </c>
      <c r="C10" t="n">
        <v>68.12</v>
      </c>
      <c r="D10" t="n">
        <v>4.66</v>
      </c>
      <c r="E10" t="n">
        <v>68.09999999999999</v>
      </c>
      <c r="F10" t="n">
        <v>5.82</v>
      </c>
      <c r="G10" t="n">
        <v>68.23</v>
      </c>
    </row>
    <row r="11">
      <c r="A11" t="inlineStr">
        <is>
          <t>Unconstrained PPO (baseline)</t>
        </is>
      </c>
      <c r="B11" t="inlineStr">
        <is>
          <t>200, 240, 300, 9000000</t>
        </is>
      </c>
      <c r="C11" t="n">
        <v>86.91</v>
      </c>
      <c r="D11" t="n">
        <v>9.33</v>
      </c>
      <c r="E11" t="n">
        <v>86.91</v>
      </c>
      <c r="F11" t="n">
        <v>12.43</v>
      </c>
      <c r="G11" t="n">
        <v>86.91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2026-03-02T08:19:01Z</dcterms:created>
  <dcterms:modified xsi:type="dcterms:W3CDTF">2026-03-02T08:19:01Z</dcterms:modified>
</cp:coreProperties>
</file>